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stebanmolina/Library/Mobile Documents/com~apple~CloudDocs/Ejercicios/02-Taller/P01-libreria-lambda/mi-construccion/"/>
    </mc:Choice>
  </mc:AlternateContent>
  <xr:revisionPtr revIDLastSave="0" documentId="13_ncr:1_{4D539C70-9A35-354C-9E9C-799F7D332396}" xr6:coauthVersionLast="47" xr6:coauthVersionMax="47" xr10:uidLastSave="{00000000-0000-0000-0000-000000000000}"/>
  <bookViews>
    <workbookView xWindow="0" yWindow="660" windowWidth="34560" windowHeight="21680" xr2:uid="{4EBB39A8-7C5E-6649-AA0E-B1C9F4122819}"/>
  </bookViews>
  <sheets>
    <sheet name="Prueba" sheetId="9" r:id="rId1"/>
    <sheet name="Pruebas" sheetId="1" r:id="rId2"/>
  </sheets>
  <definedNames>
    <definedName name="DatosExternos_8" localSheetId="0" hidden="1">Prueba!$A$1:$G$40</definedName>
    <definedName name="TES_TEA_NOMINAL" comment="De nominal a efectiva">_xlfn.LAMBDA(_xlpm.m,_xlpm.j,IF(_xlpm.m &lt;= 0, NA(), ((1 + _xlpm.j / _xlpm.m) ^ _xlpm.m) - 1))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9" l="1" a="1"/>
  <c r="M4" i="9" a="1"/>
  <c r="M5" i="9" a="1"/>
  <c r="M6" i="9" a="1"/>
  <c r="M7" i="9" a="1"/>
  <c r="M8" i="9" a="1"/>
  <c r="M2" i="9" a="1"/>
  <c r="J3" i="9" a="1"/>
  <c r="J4" i="9" a="1"/>
  <c r="J5" i="9" a="1"/>
  <c r="J6" i="9" a="1"/>
  <c r="J7" i="9" a="1"/>
  <c r="J8" i="9" a="1"/>
  <c r="J2" i="9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D2FE0E9-F080-5144-A4B6-7E5C29172F2A}" keepAlive="1" name="Consulta - Base" description="Conexión a la consulta 'Base' en el libro." type="5" refreshedVersion="8" background="1" saveData="1">
    <dbPr connection="Provider=Microsoft.Mashup.OleDb.1;Data Source=$Workbook$;Location=Base;Extended Properties=&quot;&quot;" command="SELECT * FROM [Bas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<sst xmlns="http://schemas.openxmlformats.org/spreadsheetml/2006/main" count="249" uniqueCount="139">
  <si>
    <t>id</t>
  </si>
  <si>
    <t>funcion</t>
  </si>
  <si>
    <t>esperado</t>
  </si>
  <si>
    <t>tolerancia_abs</t>
  </si>
  <si>
    <t>tipo</t>
  </si>
  <si>
    <t>nota</t>
  </si>
  <si>
    <t>T15</t>
  </si>
  <si>
    <t>TES_MONTO</t>
  </si>
  <si>
    <t>basico</t>
  </si>
  <si>
    <t>1 ano, capitaliza mensual (360 = 12 periodos)</t>
  </si>
  <si>
    <t>T16</t>
  </si>
  <si>
    <t>al vencimiento: simple</t>
  </si>
  <si>
    <t>T17</t>
  </si>
  <si>
    <t>trampa</t>
  </si>
  <si>
    <t>45 dias, periodo 30: 1 periodo + 15 dias simples</t>
  </si>
  <si>
    <t>T18</t>
  </si>
  <si>
    <t>plazo &lt; periodo: cero periodos completos</t>
  </si>
  <si>
    <t>T19</t>
  </si>
  <si>
    <t>181 = 2x90 + 1</t>
  </si>
  <si>
    <t>T20</t>
  </si>
  <si>
    <t>base 365 explicita</t>
  </si>
  <si>
    <t>T21</t>
  </si>
  <si>
    <t>borde</t>
  </si>
  <si>
    <t>tasa cero</t>
  </si>
  <si>
    <t>T22</t>
  </si>
  <si>
    <t>plazo cero</t>
  </si>
  <si>
    <t>T23</t>
  </si>
  <si>
    <t>ERROR</t>
  </si>
  <si>
    <t>error</t>
  </si>
  <si>
    <t>plazo negativo</t>
  </si>
  <si>
    <t>T24</t>
  </si>
  <si>
    <t>base cero</t>
  </si>
  <si>
    <t>argumentos</t>
  </si>
  <si>
    <t>T08</t>
  </si>
  <si>
    <t>TES_NOMINAL_TEA</t>
  </si>
  <si>
    <t>0,126825030131969;12</t>
  </si>
  <si>
    <t>1e-09</t>
  </si>
  <si>
    <t>inversa de T01 -&gt; 0,12</t>
  </si>
  <si>
    <t>T09</t>
  </si>
  <si>
    <t>0,06;4</t>
  </si>
  <si>
    <t>TEA 6% -&gt; nominal trimestral</t>
  </si>
  <si>
    <t>T10</t>
  </si>
  <si>
    <t>-1;12</t>
  </si>
  <si>
    <t/>
  </si>
  <si>
    <t>TEA &lt;= -100%</t>
  </si>
  <si>
    <t>T11</t>
  </si>
  <si>
    <t>TES_TASA_EQUIV</t>
  </si>
  <si>
    <t>0,06;360;30</t>
  </si>
  <si>
    <t>tasa mensual equivalente a 6% anual</t>
  </si>
  <si>
    <t>T12</t>
  </si>
  <si>
    <t>0,005;30;360</t>
  </si>
  <si>
    <t>mensual 0,5% -&gt; anual efectiva</t>
  </si>
  <si>
    <t>T13</t>
  </si>
  <si>
    <t>0,06;360;360</t>
  </si>
  <si>
    <t>1e-12</t>
  </si>
  <si>
    <t>mismo periodo: identidad</t>
  </si>
  <si>
    <t>T14</t>
  </si>
  <si>
    <t>0,06;0;30</t>
  </si>
  <si>
    <t>periodo origen 0</t>
  </si>
  <si>
    <t>T32</t>
  </si>
  <si>
    <t>TES_TASA_REAL</t>
  </si>
  <si>
    <t>0,0510;0,0120</t>
  </si>
  <si>
    <t>pasiva vs inflacion 1,2%</t>
  </si>
  <si>
    <t>T33</t>
  </si>
  <si>
    <t>0,02;0,05</t>
  </si>
  <si>
    <t>real negativa</t>
  </si>
  <si>
    <t>T34</t>
  </si>
  <si>
    <t>0,05;-1</t>
  </si>
  <si>
    <t>inflacion -100%</t>
  </si>
  <si>
    <t>T25</t>
  </si>
  <si>
    <t>TES_TEA_IMPLICITA</t>
  </si>
  <si>
    <t>100000;105000;360</t>
  </si>
  <si>
    <t>5% a 360 dias, base 360</t>
  </si>
  <si>
    <t>T26</t>
  </si>
  <si>
    <t>100000;105000;180</t>
  </si>
  <si>
    <t>5% en medio ano -&gt; 10,25%</t>
  </si>
  <si>
    <t>T27</t>
  </si>
  <si>
    <t>100000;101000;30;365</t>
  </si>
  <si>
    <t>base 365</t>
  </si>
  <si>
    <t>T28</t>
  </si>
  <si>
    <t>100000;100000;90</t>
  </si>
  <si>
    <t>sin ganancia</t>
  </si>
  <si>
    <t>T29</t>
  </si>
  <si>
    <t>100000;98000;90</t>
  </si>
  <si>
    <t>perdida: TEA negativa valida</t>
  </si>
  <si>
    <t>T30</t>
  </si>
  <si>
    <t>0;1000;90</t>
  </si>
  <si>
    <t>capital 0</t>
  </si>
  <si>
    <t>T31</t>
  </si>
  <si>
    <t>100000;105000;0</t>
  </si>
  <si>
    <t>plazo 0</t>
  </si>
  <si>
    <t>T01</t>
  </si>
  <si>
    <t>TES_TEA_NOMINAL</t>
  </si>
  <si>
    <t>0,12;12</t>
  </si>
  <si>
    <t>12% nominal mensual -&gt; 12,6825%</t>
  </si>
  <si>
    <t>T02</t>
  </si>
  <si>
    <t>0,051;12</t>
  </si>
  <si>
    <t>pasiva ago-2026 capitalizada mensual</t>
  </si>
  <si>
    <t>T03</t>
  </si>
  <si>
    <t>0,08;1</t>
  </si>
  <si>
    <t>m=1: nominal = efectiva</t>
  </si>
  <si>
    <t>T04</t>
  </si>
  <si>
    <t>0,05;365</t>
  </si>
  <si>
    <t>capitalizacion diaria</t>
  </si>
  <si>
    <t>T05</t>
  </si>
  <si>
    <t>0;12</t>
  </si>
  <si>
    <t>T06</t>
  </si>
  <si>
    <t>0,12;0</t>
  </si>
  <si>
    <t>m=0 no existe</t>
  </si>
  <si>
    <t>T07</t>
  </si>
  <si>
    <t>0,12;-4</t>
  </si>
  <si>
    <t>m negativo</t>
  </si>
  <si>
    <t>T35</t>
  </si>
  <si>
    <t>TES_VP</t>
  </si>
  <si>
    <t>tea=0,06; flujos=-100000,2500,2500,2500,102500; fechas=1-oct-26,1-ene-27,1-abr-27,1-jul-27,1-oct-27; fecha_val=1-oct-26</t>
  </si>
  <si>
    <t>1e-06</t>
  </si>
  <si>
    <t>coincide con VNA.NO.PER (XNPV) del mismo flujo</t>
  </si>
  <si>
    <t>T36</t>
  </si>
  <si>
    <t>mismos flujos; fecha_val=1-ene-27</t>
  </si>
  <si>
    <t>fecha de valoracion en medio: el flujo previo se capitaliza</t>
  </si>
  <si>
    <t>T37</t>
  </si>
  <si>
    <t>mismos flujos, fechas desordenadas (se invierten las filas 2 y 4 en ambos rangos); fecha_val=1-oct-26</t>
  </si>
  <si>
    <t>el orden no debe importar</t>
  </si>
  <si>
    <t>T38</t>
  </si>
  <si>
    <t>tea=0; mismos flujos</t>
  </si>
  <si>
    <t>tasa 0: suma simple</t>
  </si>
  <si>
    <t>T39</t>
  </si>
  <si>
    <t>flujos con 5 elementos, fechas con 4</t>
  </si>
  <si>
    <t>rangos de tamano distinto</t>
  </si>
  <si>
    <t>100000;0,051;360;30</t>
  </si>
  <si>
    <t>100000;0,051;360;0</t>
  </si>
  <si>
    <t>50000;0,0475;45;30</t>
  </si>
  <si>
    <t>50000;0,0475;20;30</t>
  </si>
  <si>
    <t>250000;0,0525;181;90</t>
  </si>
  <si>
    <t>250000;0,0525;365;90;365</t>
  </si>
  <si>
    <t>100000;0;360;30</t>
  </si>
  <si>
    <t>100000;0,05;0;30</t>
  </si>
  <si>
    <t>100000;0,05;-5;30</t>
  </si>
  <si>
    <t>100000;0,05;360;30;0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</si>
</sst>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7">
    <dxf>
      <numFmt numFmtId="4" formatCode="#,##0.00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1" xr16:uid="{CB55B7A7-3F5D-7E4C-B1C4-8107478DED7E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uncion" tableColumnId="2"/>
      <queryTableField id="3" name="argumentos" tableColumnId="3"/>
      <queryTableField id="4" name="esperado" tableColumnId="4"/>
      <queryTableField id="5" name="tolerancia_abs" tableColumnId="5"/>
      <queryTableField id="6" name="tipo" tableColumnId="6"/>
      <queryTableField id="7" name="nota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9D99B0-A4F5-7C4A-B4FA-40046C556F9E}" name="Base" displayName="Base" ref="A1:G40" tableType="queryTable" totalsRowShown="0">
  <autoFilter ref="A1:G40" xr:uid="{B59D99B0-A4F5-7C4A-B4FA-40046C556F9E}">
    <filterColumn colId="1">
      <filters>
        <filter val="TES_TEA_NOMINAL"/>
      </filters>
    </filterColumn>
  </autoFilter>
  <tableColumns count="7">
    <tableColumn id="1" xr3:uid="{6C9611AF-D346-FA44-B365-C987B9B73F6C}" uniqueName="1" name="id" queryTableFieldId="1" dataDxfId="6"/>
    <tableColumn id="2" xr3:uid="{22307265-0CE5-9B4B-BE43-F6B9AFDBA27F}" uniqueName="2" name="funcion" queryTableFieldId="2" dataDxfId="5"/>
    <tableColumn id="3" xr3:uid="{DE11D466-E5B9-2749-A2AD-0543DB916B83}" uniqueName="3" name="argumentos" queryTableFieldId="3" dataDxfId="3"/>
    <tableColumn id="4" xr3:uid="{5B2C9C36-616A-8847-9171-3A164828D300}" uniqueName="4" name="esperado" queryTableFieldId="4" dataDxfId="2"/>
    <tableColumn id="5" xr3:uid="{C3EDDB59-93E3-524B-A183-86412EAD4C09}" uniqueName="5" name="tolerancia_abs" queryTableFieldId="5" dataDxfId="0"/>
    <tableColumn id="6" xr3:uid="{A73A38EB-6417-FC43-B073-38EBAA1AC988}" uniqueName="6" name="tipo" queryTableFieldId="6" dataDxfId="1"/>
    <tableColumn id="7" xr3:uid="{B438BC18-C9EB-4342-BF14-540E321CEA53}" uniqueName="7" name="nota" queryTableFieldId="7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C2E416-9849-FC44-AFFA-F6DEF5987936}">
  <we:reference id="wa200003696" version="1.3.0.0" store="es-E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96571401-B2C0-F846-B3A6-2C7B89E9B231}&quot;}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B5955-F743-A84A-8AAF-65C450073476}">
  <dimension ref="A1:N40"/>
  <sheetViews>
    <sheetView tabSelected="1" topLeftCell="D1" workbookViewId="0">
      <selection activeCell="N64" sqref="N64"/>
    </sheetView>
  </sheetViews>
  <sheetFormatPr baseColWidth="10" defaultRowHeight="16" x14ac:dyDescent="0.2"/>
  <cols>
    <col min="1" max="1" width="5.1640625" bestFit="1" customWidth="1"/>
    <col min="2" max="2" width="16.6640625" bestFit="1" customWidth="1"/>
    <col min="3" max="3" width="80.6640625" bestFit="1" customWidth="1"/>
    <col min="4" max="4" width="20.83203125" bestFit="1" customWidth="1"/>
    <col min="5" max="5" width="15.83203125" style="2" bestFit="1" customWidth="1"/>
    <col min="6" max="6" width="7" bestFit="1" customWidth="1"/>
    <col min="7" max="7" width="47.6640625" bestFit="1" customWidth="1"/>
  </cols>
  <sheetData>
    <row r="1" spans="1:14" x14ac:dyDescent="0.2">
      <c r="A1" t="s">
        <v>0</v>
      </c>
      <c r="B1" t="s">
        <v>1</v>
      </c>
      <c r="C1" t="s">
        <v>32</v>
      </c>
      <c r="D1" t="s">
        <v>2</v>
      </c>
      <c r="E1" s="2" t="s">
        <v>3</v>
      </c>
      <c r="F1" t="s">
        <v>4</v>
      </c>
      <c r="G1" t="s">
        <v>5</v>
      </c>
    </row>
    <row r="2" spans="1:14" x14ac:dyDescent="0.2">
      <c r="A2" s="1" t="s">
        <v>91</v>
      </c>
      <c r="B2" s="1" t="s">
        <v>92</v>
      </c>
      <c r="C2" s="2" t="s">
        <v>93</v>
      </c>
      <c r="D2" s="2">
        <v>0.126825030131969</v>
      </c>
      <c r="E2" s="2">
        <v>1.0000000000000001E-9</v>
      </c>
      <c r="F2" s="1" t="s">
        <v>8</v>
      </c>
      <c r="G2" s="1" t="s">
        <v>94</v>
      </c>
      <c r="J2" s="2" cm="1">
        <f t="array" ref="J2:K2">_xlfn.TEXTSPLIT(Base[[#This Row],[argumentos]],";")*1</f>
        <v>0.12</v>
      </c>
      <c r="K2" s="2">
        <v>12</v>
      </c>
      <c r="M2" s="2" cm="1">
        <f t="array" ref="M2">TES_TEA_NOMINAL(K2,J2)</f>
        <v>0.12682503013196977</v>
      </c>
      <c r="N2" s="2"/>
    </row>
    <row r="3" spans="1:14" x14ac:dyDescent="0.2">
      <c r="A3" s="1" t="s">
        <v>95</v>
      </c>
      <c r="B3" s="1" t="s">
        <v>92</v>
      </c>
      <c r="C3" s="2" t="s">
        <v>96</v>
      </c>
      <c r="D3" s="2">
        <v>5.2209176036820397E-2</v>
      </c>
      <c r="E3" s="2" t="s">
        <v>36</v>
      </c>
      <c r="F3" s="1" t="s">
        <v>8</v>
      </c>
      <c r="G3" s="1" t="s">
        <v>97</v>
      </c>
      <c r="J3" s="2" cm="1">
        <f t="array" ref="J3:K3">_xlfn.TEXTSPLIT(Base[[#This Row],[argumentos]],";")*1</f>
        <v>5.0999999999999997E-2</v>
      </c>
      <c r="K3" s="2">
        <v>12</v>
      </c>
      <c r="M3" s="2" cm="1">
        <f t="array" ref="M3">TES_TEA_NOMINAL(K3,J3)</f>
        <v>5.220917603681996E-2</v>
      </c>
      <c r="N3" s="2"/>
    </row>
    <row r="4" spans="1:14" x14ac:dyDescent="0.2">
      <c r="A4" s="1" t="s">
        <v>98</v>
      </c>
      <c r="B4" s="1" t="s">
        <v>92</v>
      </c>
      <c r="C4" s="2" t="s">
        <v>99</v>
      </c>
      <c r="D4" s="2">
        <v>0.08</v>
      </c>
      <c r="E4" s="2" t="s">
        <v>36</v>
      </c>
      <c r="F4" s="1" t="s">
        <v>8</v>
      </c>
      <c r="G4" s="1" t="s">
        <v>100</v>
      </c>
      <c r="J4" s="2" cm="1">
        <f t="array" ref="J4:K4">_xlfn.TEXTSPLIT(Base[[#This Row],[argumentos]],";")*1</f>
        <v>0.08</v>
      </c>
      <c r="K4" s="2">
        <v>1</v>
      </c>
      <c r="M4" s="2" cm="1">
        <f t="array" ref="M4">TES_TEA_NOMINAL(K4,J4)</f>
        <v>8.0000000000000071E-2</v>
      </c>
      <c r="N4" s="2"/>
    </row>
    <row r="5" spans="1:14" x14ac:dyDescent="0.2">
      <c r="A5" s="1" t="s">
        <v>101</v>
      </c>
      <c r="B5" s="1" t="s">
        <v>92</v>
      </c>
      <c r="C5" s="2" t="s">
        <v>102</v>
      </c>
      <c r="D5" s="2">
        <v>5.1267496467447299E-2</v>
      </c>
      <c r="E5" s="2" t="s">
        <v>36</v>
      </c>
      <c r="F5" s="1" t="s">
        <v>22</v>
      </c>
      <c r="G5" s="1" t="s">
        <v>103</v>
      </c>
      <c r="J5" s="2" cm="1">
        <f t="array" ref="J5:K5">_xlfn.TEXTSPLIT(Base[[#This Row],[argumentos]],";")*1</f>
        <v>0.05</v>
      </c>
      <c r="K5" s="2">
        <v>365</v>
      </c>
      <c r="M5" s="2" cm="1">
        <f t="array" ref="M5">TES_TEA_NOMINAL(K5,J5)</f>
        <v>5.1267496467422902E-2</v>
      </c>
      <c r="N5" s="2"/>
    </row>
    <row r="6" spans="1:14" x14ac:dyDescent="0.2">
      <c r="A6" s="1" t="s">
        <v>104</v>
      </c>
      <c r="B6" s="1" t="s">
        <v>92</v>
      </c>
      <c r="C6" s="2" t="s">
        <v>105</v>
      </c>
      <c r="D6" s="2">
        <v>0</v>
      </c>
      <c r="E6" s="2" t="s">
        <v>36</v>
      </c>
      <c r="F6" s="1" t="s">
        <v>22</v>
      </c>
      <c r="G6" s="1" t="s">
        <v>23</v>
      </c>
      <c r="J6" s="2" cm="1">
        <f t="array" ref="J6:K6">_xlfn.TEXTSPLIT(Base[[#This Row],[argumentos]],";")*1</f>
        <v>0</v>
      </c>
      <c r="K6" s="2">
        <v>12</v>
      </c>
      <c r="M6" s="2" cm="1">
        <f t="array" ref="M6">TES_TEA_NOMINAL(K6,J6)</f>
        <v>0</v>
      </c>
      <c r="N6" s="2"/>
    </row>
    <row r="7" spans="1:14" x14ac:dyDescent="0.2">
      <c r="A7" s="1" t="s">
        <v>106</v>
      </c>
      <c r="B7" s="1" t="s">
        <v>92</v>
      </c>
      <c r="C7" s="2" t="s">
        <v>107</v>
      </c>
      <c r="D7" s="2" t="s">
        <v>27</v>
      </c>
      <c r="E7" s="2" t="s">
        <v>43</v>
      </c>
      <c r="F7" s="1" t="s">
        <v>28</v>
      </c>
      <c r="G7" s="1" t="s">
        <v>108</v>
      </c>
      <c r="J7" s="2" cm="1">
        <f t="array" ref="J7:K7">_xlfn.TEXTSPLIT(Base[[#This Row],[argumentos]],";")*1</f>
        <v>0.12</v>
      </c>
      <c r="K7" s="2">
        <v>0</v>
      </c>
      <c r="M7" s="2" t="e" cm="1">
        <f t="array" ref="M7">TES_TEA_NOMINAL(K7,J7)</f>
        <v>#N/A</v>
      </c>
      <c r="N7" s="2"/>
    </row>
    <row r="8" spans="1:14" x14ac:dyDescent="0.2">
      <c r="A8" s="1" t="s">
        <v>109</v>
      </c>
      <c r="B8" s="1" t="s">
        <v>92</v>
      </c>
      <c r="C8" s="2" t="s">
        <v>110</v>
      </c>
      <c r="D8" s="2" t="s">
        <v>27</v>
      </c>
      <c r="F8" s="1" t="s">
        <v>28</v>
      </c>
      <c r="G8" s="1" t="s">
        <v>111</v>
      </c>
      <c r="J8" s="2" cm="1">
        <f t="array" ref="J8:K8">_xlfn.TEXTSPLIT(Base[[#This Row],[argumentos]],";")*1</f>
        <v>0.12</v>
      </c>
      <c r="K8" s="2">
        <v>-4</v>
      </c>
      <c r="M8" s="2" t="e" cm="1">
        <f t="array" ref="M8">TES_TEA_NOMINAL(K8,J8)</f>
        <v>#N/A</v>
      </c>
      <c r="N8" s="2"/>
    </row>
    <row r="9" spans="1:14" hidden="1" x14ac:dyDescent="0.2">
      <c r="A9" s="1" t="s">
        <v>33</v>
      </c>
      <c r="B9" s="1" t="s">
        <v>34</v>
      </c>
      <c r="C9" s="1" t="s">
        <v>35</v>
      </c>
      <c r="D9" s="2">
        <v>0.12</v>
      </c>
      <c r="E9" s="2" t="s">
        <v>36</v>
      </c>
      <c r="F9" s="1" t="s">
        <v>8</v>
      </c>
      <c r="G9" s="1" t="s">
        <v>37</v>
      </c>
    </row>
    <row r="10" spans="1:14" hidden="1" x14ac:dyDescent="0.2">
      <c r="A10" s="1" t="s">
        <v>38</v>
      </c>
      <c r="B10" s="1" t="s">
        <v>34</v>
      </c>
      <c r="C10" s="1" t="s">
        <v>39</v>
      </c>
      <c r="D10" s="2">
        <v>5.8695384674637197E-2</v>
      </c>
      <c r="E10" s="2" t="s">
        <v>36</v>
      </c>
      <c r="F10" s="1" t="s">
        <v>8</v>
      </c>
      <c r="G10" s="1" t="s">
        <v>40</v>
      </c>
    </row>
    <row r="11" spans="1:14" hidden="1" x14ac:dyDescent="0.2">
      <c r="A11" s="1" t="s">
        <v>41</v>
      </c>
      <c r="B11" s="1" t="s">
        <v>34</v>
      </c>
      <c r="C11" s="1" t="s">
        <v>42</v>
      </c>
      <c r="D11" s="2" t="s">
        <v>27</v>
      </c>
      <c r="E11" s="2" t="s">
        <v>43</v>
      </c>
      <c r="F11" s="1" t="s">
        <v>28</v>
      </c>
      <c r="G11" s="1" t="s">
        <v>44</v>
      </c>
    </row>
    <row r="12" spans="1:14" hidden="1" x14ac:dyDescent="0.2">
      <c r="A12" s="1" t="s">
        <v>45</v>
      </c>
      <c r="B12" s="1" t="s">
        <v>46</v>
      </c>
      <c r="C12" s="1" t="s">
        <v>47</v>
      </c>
      <c r="D12" s="2">
        <v>4.8675505653430397E-3</v>
      </c>
      <c r="E12" s="2" t="s">
        <v>36</v>
      </c>
      <c r="F12" s="1" t="s">
        <v>8</v>
      </c>
      <c r="G12" s="1" t="s">
        <v>48</v>
      </c>
    </row>
    <row r="13" spans="1:14" hidden="1" x14ac:dyDescent="0.2">
      <c r="A13" s="1" t="s">
        <v>49</v>
      </c>
      <c r="B13" s="1" t="s">
        <v>46</v>
      </c>
      <c r="C13" s="1" t="s">
        <v>50</v>
      </c>
      <c r="D13" s="2">
        <v>6.1677811864498201E-2</v>
      </c>
      <c r="E13" s="2" t="s">
        <v>36</v>
      </c>
      <c r="F13" s="1" t="s">
        <v>8</v>
      </c>
      <c r="G13" s="1" t="s">
        <v>51</v>
      </c>
    </row>
    <row r="14" spans="1:14" hidden="1" x14ac:dyDescent="0.2">
      <c r="A14" s="1" t="s">
        <v>52</v>
      </c>
      <c r="B14" s="1" t="s">
        <v>46</v>
      </c>
      <c r="C14" s="1" t="s">
        <v>53</v>
      </c>
      <c r="D14" s="2">
        <v>0.06</v>
      </c>
      <c r="E14" s="2" t="s">
        <v>54</v>
      </c>
      <c r="F14" s="1" t="s">
        <v>22</v>
      </c>
      <c r="G14" s="1" t="s">
        <v>55</v>
      </c>
    </row>
    <row r="15" spans="1:14" hidden="1" x14ac:dyDescent="0.2">
      <c r="A15" s="1" t="s">
        <v>56</v>
      </c>
      <c r="B15" s="1" t="s">
        <v>46</v>
      </c>
      <c r="C15" s="1" t="s">
        <v>57</v>
      </c>
      <c r="D15" s="2" t="s">
        <v>27</v>
      </c>
      <c r="E15" s="2" t="s">
        <v>43</v>
      </c>
      <c r="F15" s="1" t="s">
        <v>28</v>
      </c>
      <c r="G15" s="1" t="s">
        <v>58</v>
      </c>
    </row>
    <row r="16" spans="1:14" hidden="1" x14ac:dyDescent="0.2">
      <c r="A16" s="1" t="s">
        <v>6</v>
      </c>
      <c r="B16" s="1" t="s">
        <v>7</v>
      </c>
      <c r="C16" s="1" t="s">
        <v>129</v>
      </c>
      <c r="D16" s="2">
        <v>105220.917603682</v>
      </c>
      <c r="E16" s="2" t="s">
        <v>115</v>
      </c>
      <c r="F16" s="1" t="s">
        <v>8</v>
      </c>
      <c r="G16" s="1" t="s">
        <v>9</v>
      </c>
    </row>
    <row r="17" spans="1:7" hidden="1" x14ac:dyDescent="0.2">
      <c r="A17" s="1" t="s">
        <v>10</v>
      </c>
      <c r="B17" s="1" t="s">
        <v>7</v>
      </c>
      <c r="C17" s="1" t="s">
        <v>130</v>
      </c>
      <c r="D17" s="2">
        <v>105100</v>
      </c>
      <c r="E17" s="2" t="s">
        <v>115</v>
      </c>
      <c r="F17" s="1" t="s">
        <v>8</v>
      </c>
      <c r="G17" s="1" t="s">
        <v>11</v>
      </c>
    </row>
    <row r="18" spans="1:7" hidden="1" x14ac:dyDescent="0.2">
      <c r="A18" s="1" t="s">
        <v>12</v>
      </c>
      <c r="B18" s="1" t="s">
        <v>7</v>
      </c>
      <c r="C18" s="1" t="s">
        <v>131</v>
      </c>
      <c r="D18" s="2">
        <v>50297.266710069402</v>
      </c>
      <c r="E18" s="2" t="s">
        <v>115</v>
      </c>
      <c r="F18" s="1" t="s">
        <v>13</v>
      </c>
      <c r="G18" s="1" t="s">
        <v>14</v>
      </c>
    </row>
    <row r="19" spans="1:7" hidden="1" x14ac:dyDescent="0.2">
      <c r="A19" s="1" t="s">
        <v>15</v>
      </c>
      <c r="B19" s="1" t="s">
        <v>7</v>
      </c>
      <c r="C19" s="1" t="s">
        <v>132</v>
      </c>
      <c r="D19" s="2">
        <v>50131.944444444402</v>
      </c>
      <c r="E19" s="2" t="s">
        <v>115</v>
      </c>
      <c r="F19" s="1" t="s">
        <v>13</v>
      </c>
      <c r="G19" s="1" t="s">
        <v>16</v>
      </c>
    </row>
    <row r="20" spans="1:7" hidden="1" x14ac:dyDescent="0.2">
      <c r="A20" s="1" t="s">
        <v>17</v>
      </c>
      <c r="B20" s="1" t="s">
        <v>7</v>
      </c>
      <c r="C20" s="1" t="s">
        <v>133</v>
      </c>
      <c r="D20" s="2">
        <v>256642.98805135</v>
      </c>
      <c r="E20" s="2" t="s">
        <v>115</v>
      </c>
      <c r="F20" s="1" t="s">
        <v>13</v>
      </c>
      <c r="G20" s="1" t="s">
        <v>18</v>
      </c>
    </row>
    <row r="21" spans="1:7" hidden="1" x14ac:dyDescent="0.2">
      <c r="A21" s="1" t="s">
        <v>19</v>
      </c>
      <c r="B21" s="1" t="s">
        <v>7</v>
      </c>
      <c r="C21" s="1" t="s">
        <v>134</v>
      </c>
      <c r="D21" s="2">
        <v>263388.03612533899</v>
      </c>
      <c r="E21" s="2" t="s">
        <v>115</v>
      </c>
      <c r="F21" s="1" t="s">
        <v>13</v>
      </c>
      <c r="G21" s="1" t="s">
        <v>20</v>
      </c>
    </row>
    <row r="22" spans="1:7" hidden="1" x14ac:dyDescent="0.2">
      <c r="A22" s="1" t="s">
        <v>21</v>
      </c>
      <c r="B22" s="1" t="s">
        <v>7</v>
      </c>
      <c r="C22" s="1" t="s">
        <v>135</v>
      </c>
      <c r="D22" s="2">
        <v>100000</v>
      </c>
      <c r="E22" s="2" t="s">
        <v>36</v>
      </c>
      <c r="F22" s="1" t="s">
        <v>22</v>
      </c>
      <c r="G22" s="1" t="s">
        <v>23</v>
      </c>
    </row>
    <row r="23" spans="1:7" hidden="1" x14ac:dyDescent="0.2">
      <c r="A23" s="1" t="s">
        <v>24</v>
      </c>
      <c r="B23" s="1" t="s">
        <v>7</v>
      </c>
      <c r="C23" s="1" t="s">
        <v>136</v>
      </c>
      <c r="D23" s="2">
        <v>100000</v>
      </c>
      <c r="E23" s="2" t="s">
        <v>36</v>
      </c>
      <c r="F23" s="1" t="s">
        <v>22</v>
      </c>
      <c r="G23" s="1" t="s">
        <v>25</v>
      </c>
    </row>
    <row r="24" spans="1:7" hidden="1" x14ac:dyDescent="0.2">
      <c r="A24" s="1" t="s">
        <v>26</v>
      </c>
      <c r="B24" s="1" t="s">
        <v>7</v>
      </c>
      <c r="C24" s="1" t="s">
        <v>137</v>
      </c>
      <c r="D24" s="2" t="s">
        <v>27</v>
      </c>
      <c r="E24" s="2" t="s">
        <v>43</v>
      </c>
      <c r="F24" s="1" t="s">
        <v>28</v>
      </c>
      <c r="G24" s="1" t="s">
        <v>29</v>
      </c>
    </row>
    <row r="25" spans="1:7" hidden="1" x14ac:dyDescent="0.2">
      <c r="A25" s="1" t="s">
        <v>30</v>
      </c>
      <c r="B25" s="1" t="s">
        <v>7</v>
      </c>
      <c r="C25" s="1" t="s">
        <v>138</v>
      </c>
      <c r="D25" s="2" t="s">
        <v>27</v>
      </c>
      <c r="E25" s="2" t="s">
        <v>43</v>
      </c>
      <c r="F25" s="1" t="s">
        <v>28</v>
      </c>
      <c r="G25" s="1" t="s">
        <v>31</v>
      </c>
    </row>
    <row r="26" spans="1:7" hidden="1" x14ac:dyDescent="0.2">
      <c r="A26" s="1" t="s">
        <v>69</v>
      </c>
      <c r="B26" s="1" t="s">
        <v>70</v>
      </c>
      <c r="C26" s="1" t="s">
        <v>71</v>
      </c>
      <c r="D26" s="2">
        <v>0.05</v>
      </c>
      <c r="E26" s="2" t="s">
        <v>36</v>
      </c>
      <c r="F26" s="1" t="s">
        <v>8</v>
      </c>
      <c r="G26" s="1" t="s">
        <v>72</v>
      </c>
    </row>
    <row r="27" spans="1:7" hidden="1" x14ac:dyDescent="0.2">
      <c r="A27" s="1" t="s">
        <v>73</v>
      </c>
      <c r="B27" s="1" t="s">
        <v>70</v>
      </c>
      <c r="C27" s="1" t="s">
        <v>74</v>
      </c>
      <c r="D27" s="2">
        <v>0.10249999999999999</v>
      </c>
      <c r="E27" s="2" t="s">
        <v>36</v>
      </c>
      <c r="F27" s="1" t="s">
        <v>8</v>
      </c>
      <c r="G27" s="1" t="s">
        <v>75</v>
      </c>
    </row>
    <row r="28" spans="1:7" hidden="1" x14ac:dyDescent="0.2">
      <c r="A28" s="1" t="s">
        <v>76</v>
      </c>
      <c r="B28" s="1" t="s">
        <v>70</v>
      </c>
      <c r="C28" s="1" t="s">
        <v>77</v>
      </c>
      <c r="D28" s="2">
        <v>0.12869529415938999</v>
      </c>
      <c r="E28" s="2" t="s">
        <v>36</v>
      </c>
      <c r="F28" s="1" t="s">
        <v>8</v>
      </c>
      <c r="G28" s="1" t="s">
        <v>78</v>
      </c>
    </row>
    <row r="29" spans="1:7" hidden="1" x14ac:dyDescent="0.2">
      <c r="A29" s="1" t="s">
        <v>79</v>
      </c>
      <c r="B29" s="1" t="s">
        <v>70</v>
      </c>
      <c r="C29" s="1" t="s">
        <v>80</v>
      </c>
      <c r="D29" s="2">
        <v>0</v>
      </c>
      <c r="E29" s="2" t="s">
        <v>54</v>
      </c>
      <c r="F29" s="1" t="s">
        <v>22</v>
      </c>
      <c r="G29" s="1" t="s">
        <v>81</v>
      </c>
    </row>
    <row r="30" spans="1:7" hidden="1" x14ac:dyDescent="0.2">
      <c r="A30" s="1" t="s">
        <v>82</v>
      </c>
      <c r="B30" s="1" t="s">
        <v>70</v>
      </c>
      <c r="C30" s="1" t="s">
        <v>83</v>
      </c>
      <c r="D30" s="2">
        <v>-7.7631840000000105E-2</v>
      </c>
      <c r="E30" s="2" t="s">
        <v>36</v>
      </c>
      <c r="F30" s="1" t="s">
        <v>22</v>
      </c>
      <c r="G30" s="1" t="s">
        <v>84</v>
      </c>
    </row>
    <row r="31" spans="1:7" hidden="1" x14ac:dyDescent="0.2">
      <c r="A31" s="1" t="s">
        <v>85</v>
      </c>
      <c r="B31" s="1" t="s">
        <v>70</v>
      </c>
      <c r="C31" s="1" t="s">
        <v>86</v>
      </c>
      <c r="D31" s="2" t="s">
        <v>27</v>
      </c>
      <c r="E31" s="2" t="s">
        <v>43</v>
      </c>
      <c r="F31" s="1" t="s">
        <v>28</v>
      </c>
      <c r="G31" s="1" t="s">
        <v>87</v>
      </c>
    </row>
    <row r="32" spans="1:7" hidden="1" x14ac:dyDescent="0.2">
      <c r="A32" s="1" t="s">
        <v>88</v>
      </c>
      <c r="B32" s="1" t="s">
        <v>70</v>
      </c>
      <c r="C32" s="1" t="s">
        <v>89</v>
      </c>
      <c r="D32" s="2" t="s">
        <v>27</v>
      </c>
      <c r="E32" s="2" t="s">
        <v>43</v>
      </c>
      <c r="F32" s="1" t="s">
        <v>28</v>
      </c>
      <c r="G32" s="1" t="s">
        <v>90</v>
      </c>
    </row>
    <row r="33" spans="1:7" hidden="1" x14ac:dyDescent="0.2">
      <c r="A33" s="1" t="s">
        <v>59</v>
      </c>
      <c r="B33" s="1" t="s">
        <v>60</v>
      </c>
      <c r="C33" s="1" t="s">
        <v>61</v>
      </c>
      <c r="D33" s="2">
        <v>3.8537549407114499E-2</v>
      </c>
      <c r="E33" s="2" t="s">
        <v>36</v>
      </c>
      <c r="F33" s="1" t="s">
        <v>8</v>
      </c>
      <c r="G33" s="1" t="s">
        <v>62</v>
      </c>
    </row>
    <row r="34" spans="1:7" hidden="1" x14ac:dyDescent="0.2">
      <c r="A34" s="1" t="s">
        <v>63</v>
      </c>
      <c r="B34" s="1" t="s">
        <v>60</v>
      </c>
      <c r="C34" s="1" t="s">
        <v>64</v>
      </c>
      <c r="D34" s="2">
        <v>-2.8571428571428501E-2</v>
      </c>
      <c r="E34" s="2" t="s">
        <v>36</v>
      </c>
      <c r="F34" s="1" t="s">
        <v>8</v>
      </c>
      <c r="G34" s="1" t="s">
        <v>65</v>
      </c>
    </row>
    <row r="35" spans="1:7" hidden="1" x14ac:dyDescent="0.2">
      <c r="A35" s="1" t="s">
        <v>66</v>
      </c>
      <c r="B35" s="1" t="s">
        <v>60</v>
      </c>
      <c r="C35" s="1" t="s">
        <v>67</v>
      </c>
      <c r="D35" s="2" t="s">
        <v>27</v>
      </c>
      <c r="E35" s="2" t="s">
        <v>43</v>
      </c>
      <c r="F35" s="1" t="s">
        <v>28</v>
      </c>
      <c r="G35" s="1" t="s">
        <v>68</v>
      </c>
    </row>
    <row r="36" spans="1:7" hidden="1" x14ac:dyDescent="0.2">
      <c r="A36" s="1" t="s">
        <v>112</v>
      </c>
      <c r="B36" s="1" t="s">
        <v>113</v>
      </c>
      <c r="C36" s="1" t="s">
        <v>114</v>
      </c>
      <c r="D36" s="2">
        <v>3983.4578545118202</v>
      </c>
      <c r="E36" s="2" t="s">
        <v>115</v>
      </c>
      <c r="F36" s="1" t="s">
        <v>8</v>
      </c>
      <c r="G36" s="1" t="s">
        <v>116</v>
      </c>
    </row>
    <row r="37" spans="1:7" hidden="1" x14ac:dyDescent="0.2">
      <c r="A37" s="1" t="s">
        <v>117</v>
      </c>
      <c r="B37" s="1" t="s">
        <v>113</v>
      </c>
      <c r="C37" s="1" t="s">
        <v>118</v>
      </c>
      <c r="D37" s="2">
        <v>4042.3944717641698</v>
      </c>
      <c r="E37" s="2" t="s">
        <v>115</v>
      </c>
      <c r="F37" s="1" t="s">
        <v>13</v>
      </c>
      <c r="G37" s="1" t="s">
        <v>119</v>
      </c>
    </row>
    <row r="38" spans="1:7" hidden="1" x14ac:dyDescent="0.2">
      <c r="A38" s="1" t="s">
        <v>120</v>
      </c>
      <c r="B38" s="1" t="s">
        <v>113</v>
      </c>
      <c r="C38" s="1" t="s">
        <v>121</v>
      </c>
      <c r="D38" s="2">
        <v>3983.4578545118202</v>
      </c>
      <c r="E38" s="2" t="s">
        <v>115</v>
      </c>
      <c r="F38" s="1" t="s">
        <v>13</v>
      </c>
      <c r="G38" s="1" t="s">
        <v>122</v>
      </c>
    </row>
    <row r="39" spans="1:7" hidden="1" x14ac:dyDescent="0.2">
      <c r="A39" s="1" t="s">
        <v>123</v>
      </c>
      <c r="B39" s="1" t="s">
        <v>113</v>
      </c>
      <c r="C39" s="1" t="s">
        <v>124</v>
      </c>
      <c r="D39" s="2">
        <v>10000</v>
      </c>
      <c r="E39" s="2" t="s">
        <v>36</v>
      </c>
      <c r="F39" s="1" t="s">
        <v>22</v>
      </c>
      <c r="G39" s="1" t="s">
        <v>125</v>
      </c>
    </row>
    <row r="40" spans="1:7" hidden="1" x14ac:dyDescent="0.2">
      <c r="A40" s="1" t="s">
        <v>126</v>
      </c>
      <c r="B40" s="1" t="s">
        <v>113</v>
      </c>
      <c r="C40" s="1" t="s">
        <v>127</v>
      </c>
      <c r="D40" s="2" t="s">
        <v>27</v>
      </c>
      <c r="E40" s="2" t="s">
        <v>43</v>
      </c>
      <c r="F40" s="1" t="s">
        <v>28</v>
      </c>
      <c r="G40" s="1" t="s">
        <v>128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4CE-8FE2-1049-9D5A-DCC7FFC2ED67}">
  <dimension ref="A1"/>
  <sheetViews>
    <sheetView workbookViewId="0">
      <selection activeCell="Q14" sqref="Q14"/>
    </sheetView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A7AFwAbgAiAH0AXQAsACIAcAByAG8AagBlAGMAdABOAGEAbQBlAHMAIgA6AFsAXQAsACIAbABvAGMAYQBsAGUAIgA6AHsAIgBsAGkAcwB0AFMAZQBwAGEAcgBhAHQAbwByACIAOgAiADsAIgAsACIAcgBvAHcAUwBlAHAAYQByAGEAdABvAHIAIgA6ACIAOwAiACwAIgBjAG8AbAB1AG0AbgBTAGUAcABhAHIAYQB0AG8AcgAiADoAIgBcAFwAIgAsACIAdABoAG8AdQBzAGEAbgBkAHMAUwBlAHAAYQByAGEAdABvAHIAIgA6ACIALgAiACwAIgB0AGgAbwB1AHMAYQBuAGQAcwBQAG8AcwBpAHQAaQBvAG4AcwAiADoAWwAzAF0ALAAiAGQAZQBjAGkAbQBhAGwAUwBlAHAAYQByAGEAdABvAHIAIgA6ACIALA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GACIALAAiAGMAbwBsAHUAbQBuAEwAZQB0AHQAZQByACIAOgAiAEMAIgAsACIAcgBjAEwAZQBmAHQAQgByAGEAYwBrAGUAdAAiADoAIgBbACIALAAiAHIAYwBSAGkAZwBoAHQAQgByAGEAYwBrAGUAdAAiADoAIgBdACIALAAiAHMAdABhAHQAZQBtAGUAbgB0AFMAZQBwAGEAcgBhAHQAbwByACIAOgAiADsAOwAiACwAIgBsAG8AYwBhAGwAZQBOAGEAbQBlACIAOgAiAGUAcwAtAG0AeAAiAH0AfQA=</AFEJSONBlob>
</file>

<file path=customXml/item2.xml>�� 
</file>

<file path=customXml/itemProps1.xml><?xml version="1.0" encoding="utf-8"?>
<ds:datastoreItem xmlns:ds="http://schemas.openxmlformats.org/officeDocument/2006/customXml" ds:itemID="{96571401-B2C0-F846-B3A6-2C7B89E9B231}">
  <ds:schemaRefs>
    <ds:schemaRef ds:uri="http://schemas.advancedformulaenvironment.officeapps.live.com/afejsonblob/1.0"/>
  </ds:schemaRefs>
</ds:datastoreItem>
</file>

<file path=customXml/itemProps2.xml><?xml version="1.0" encoding="utf-8"?>
<ds:datastoreItem xmlns:ds="http://schemas.openxmlformats.org/officeDocument/2006/customXml" ds:itemID="{F930EB18-5DC6-2E4A-A6B4-2D4F261497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</vt:lpstr>
      <vt:lpstr>Pruebas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Molina</dc:creator>
  <cp:lastModifiedBy>Esteban Molina</cp:lastModifiedBy>
  <dcterms:created xsi:type="dcterms:W3CDTF">2026-10-05T01:00:33Z</dcterms:created>
  <dcterms:modified xsi:type="dcterms:W3CDTF">2026-10-10T21:51:23Z</dcterms:modified>
</cp:coreProperties>
</file>